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ev\Перфоманс лаб\PerfLabProject\"/>
    </mc:Choice>
  </mc:AlternateContent>
  <xr:revisionPtr revIDLastSave="0" documentId="13_ncr:1_{1CFC4A95-DC53-493C-AA71-E656EC439AA6}" xr6:coauthVersionLast="47" xr6:coauthVersionMax="47" xr10:uidLastSave="{00000000-0000-0000-0000-000000000000}"/>
  <bookViews>
    <workbookView xWindow="-120" yWindow="-120" windowWidth="29040" windowHeight="15720" xr2:uid="{319F2C3D-6B4D-4FFA-AD0F-B54290DF8A2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6" i="1" l="1"/>
  <c r="F47" i="1"/>
  <c r="F48" i="1"/>
  <c r="F49" i="1"/>
  <c r="F45" i="1"/>
  <c r="F38" i="1"/>
  <c r="F39" i="1"/>
  <c r="F40" i="1"/>
  <c r="F41" i="1"/>
  <c r="F37" i="1"/>
  <c r="F30" i="1"/>
  <c r="F31" i="1"/>
  <c r="F32" i="1"/>
  <c r="F33" i="1"/>
  <c r="F29" i="1"/>
  <c r="F22" i="1"/>
  <c r="F23" i="1"/>
  <c r="F24" i="1"/>
  <c r="F25" i="1"/>
  <c r="F21" i="1"/>
  <c r="F14" i="1"/>
  <c r="F15" i="1"/>
  <c r="F16" i="1"/>
  <c r="F17" i="1"/>
  <c r="F13" i="1"/>
  <c r="E46" i="1"/>
  <c r="E47" i="1"/>
  <c r="E48" i="1"/>
  <c r="E49" i="1"/>
  <c r="E45" i="1"/>
  <c r="A45" i="1"/>
  <c r="E38" i="1"/>
  <c r="E39" i="1"/>
  <c r="E40" i="1"/>
  <c r="E41" i="1"/>
  <c r="E37" i="1"/>
  <c r="A37" i="1"/>
  <c r="A29" i="1"/>
  <c r="E30" i="1"/>
  <c r="E31" i="1"/>
  <c r="E32" i="1"/>
  <c r="E33" i="1"/>
  <c r="E29" i="1"/>
  <c r="E22" i="1"/>
  <c r="E23" i="1"/>
  <c r="E24" i="1"/>
  <c r="E25" i="1"/>
  <c r="E21" i="1"/>
  <c r="E13" i="1"/>
  <c r="A13" i="1" s="1"/>
  <c r="E14" i="1"/>
  <c r="E15" i="1"/>
  <c r="E16" i="1"/>
  <c r="E17" i="1"/>
  <c r="H2" i="1"/>
  <c r="H3" i="1"/>
  <c r="H4" i="1"/>
  <c r="H5" i="1"/>
  <c r="H6" i="1"/>
  <c r="F3" i="1"/>
  <c r="F4" i="1"/>
  <c r="F5" i="1"/>
  <c r="F6" i="1"/>
  <c r="F2" i="1"/>
  <c r="A21" i="1" l="1"/>
</calcChain>
</file>

<file path=xl/sharedStrings.xml><?xml version="1.0" encoding="utf-8"?>
<sst xmlns="http://schemas.openxmlformats.org/spreadsheetml/2006/main" count="69" uniqueCount="23">
  <si>
    <t>Регистрация</t>
  </si>
  <si>
    <t>Создание отчета</t>
  </si>
  <si>
    <t>Создание теста</t>
  </si>
  <si>
    <t>Создание тренда</t>
  </si>
  <si>
    <t>Запуск теста</t>
  </si>
  <si>
    <t>Название</t>
  </si>
  <si>
    <t>Профиль</t>
  </si>
  <si>
    <t>Время выполнения, сек</t>
  </si>
  <si>
    <t>SLA</t>
  </si>
  <si>
    <t>кол-во польз</t>
  </si>
  <si>
    <t>кол-во пользователей округленное</t>
  </si>
  <si>
    <t>ср-увеличение процента</t>
  </si>
  <si>
    <t>кол-во vusers</t>
  </si>
  <si>
    <t>pacing</t>
  </si>
  <si>
    <t>% нагрузки от профиля</t>
  </si>
  <si>
    <t>1 СТУПЕНЬ</t>
  </si>
  <si>
    <t>2 СТУПЕНЬ</t>
  </si>
  <si>
    <t>3 СТУПЕНЬ</t>
  </si>
  <si>
    <t>4 СТУПЕНЬ</t>
  </si>
  <si>
    <t>5 СТУПЕНЬ</t>
  </si>
  <si>
    <t>кол-во запросов</t>
  </si>
  <si>
    <t>по 5 мин на вход и выход userov</t>
  </si>
  <si>
    <t>по 22 мин на каждую ступень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</si>
</sst>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3.95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83A8A-15CD-42A8-8B66-1B59E87C29AB}">
  <dimension ref="A1:T53"/>
  <sheetViews>
    <sheetView tabSelected="1" topLeftCell="A4" zoomScale="70" zoomScaleNormal="70" workbookViewId="0">
      <selection activeCell="E58" sqref="E58"/>
    </sheetView>
  </sheetViews>
  <sheetFormatPr defaultRowHeight="15" x14ac:dyDescent="0.25"/>
  <cols>
    <col min="1" max="1" width="25.140625" customWidth="1"/>
    <col min="2" max="2" width="17.42578125" customWidth="1"/>
    <col min="3" max="3" width="29.140625" customWidth="1"/>
    <col min="5" max="5" width="49" customWidth="1"/>
    <col min="6" max="6" width="18.28515625" customWidth="1"/>
    <col min="7" max="7" width="18.7109375" customWidth="1"/>
    <col min="8" max="8" width="31.28515625" customWidth="1"/>
    <col min="11" max="11" width="15" bestFit="1" customWidth="1"/>
  </cols>
  <sheetData>
    <row r="1" spans="1:20" ht="112.5" x14ac:dyDescent="0.25">
      <c r="A1" s="1" t="s">
        <v>5</v>
      </c>
      <c r="B1" s="1" t="s">
        <v>6</v>
      </c>
      <c r="C1" s="1" t="s">
        <v>7</v>
      </c>
      <c r="D1" s="1" t="s">
        <v>8</v>
      </c>
      <c r="E1" s="1"/>
      <c r="F1" s="1" t="s">
        <v>9</v>
      </c>
      <c r="G1" s="1" t="s">
        <v>10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8.75" x14ac:dyDescent="0.25">
      <c r="A2" s="1" t="s">
        <v>0</v>
      </c>
      <c r="B2" s="1">
        <v>1500</v>
      </c>
      <c r="C2" s="1">
        <v>6</v>
      </c>
      <c r="D2" s="1">
        <v>12</v>
      </c>
      <c r="E2" s="1"/>
      <c r="F2" s="1">
        <f>B2/(3600/C2)</f>
        <v>2.5</v>
      </c>
      <c r="G2" s="1">
        <v>3</v>
      </c>
      <c r="H2" s="1">
        <f>3600/(B2/G2)</f>
        <v>7.2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8.75" x14ac:dyDescent="0.25">
      <c r="A3" s="1" t="s">
        <v>1</v>
      </c>
      <c r="B3" s="1">
        <v>2250</v>
      </c>
      <c r="C3" s="1">
        <v>5</v>
      </c>
      <c r="D3" s="1">
        <v>10</v>
      </c>
      <c r="E3" s="1"/>
      <c r="F3" s="1">
        <f t="shared" ref="F3:F6" si="0">B3/(3600/C3)</f>
        <v>3.125</v>
      </c>
      <c r="G3" s="1">
        <v>4</v>
      </c>
      <c r="H3" s="1">
        <f t="shared" ref="H3:H6" si="1">3600/(B3/G3)</f>
        <v>6.4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8.75" x14ac:dyDescent="0.25">
      <c r="A4" s="1" t="s">
        <v>2</v>
      </c>
      <c r="B4" s="1">
        <v>2250</v>
      </c>
      <c r="C4" s="1">
        <v>5</v>
      </c>
      <c r="D4" s="1">
        <v>10</v>
      </c>
      <c r="E4" s="1"/>
      <c r="F4" s="1">
        <f t="shared" si="0"/>
        <v>3.125</v>
      </c>
      <c r="G4" s="1">
        <v>4</v>
      </c>
      <c r="H4" s="1">
        <f t="shared" si="1"/>
        <v>6.4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8.75" x14ac:dyDescent="0.25">
      <c r="A5" s="1" t="s">
        <v>3</v>
      </c>
      <c r="B5" s="1">
        <v>100</v>
      </c>
      <c r="C5" s="1">
        <v>6</v>
      </c>
      <c r="D5" s="1">
        <v>12</v>
      </c>
      <c r="E5" s="1"/>
      <c r="F5" s="1">
        <f t="shared" si="0"/>
        <v>0.16666666666666666</v>
      </c>
      <c r="G5" s="1">
        <v>1</v>
      </c>
      <c r="H5" s="1">
        <f t="shared" si="1"/>
        <v>36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8.75" x14ac:dyDescent="0.25">
      <c r="A6" s="1" t="s">
        <v>4</v>
      </c>
      <c r="B6" s="1">
        <v>300</v>
      </c>
      <c r="C6" s="1">
        <v>6</v>
      </c>
      <c r="D6" s="1">
        <v>12</v>
      </c>
      <c r="E6" s="1"/>
      <c r="F6" s="1">
        <f t="shared" si="0"/>
        <v>0.5</v>
      </c>
      <c r="G6" s="1">
        <v>1</v>
      </c>
      <c r="H6" s="1">
        <f t="shared" si="1"/>
        <v>12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11" spans="1:20" x14ac:dyDescent="0.25">
      <c r="A11" t="s">
        <v>15</v>
      </c>
    </row>
    <row r="12" spans="1:20" x14ac:dyDescent="0.25">
      <c r="A12" t="s">
        <v>11</v>
      </c>
      <c r="B12" t="s">
        <v>5</v>
      </c>
      <c r="C12" t="s">
        <v>12</v>
      </c>
      <c r="D12" t="s">
        <v>13</v>
      </c>
      <c r="E12" t="s">
        <v>14</v>
      </c>
      <c r="F12" t="s">
        <v>20</v>
      </c>
    </row>
    <row r="13" spans="1:20" ht="18.75" x14ac:dyDescent="0.25">
      <c r="A13" s="1">
        <f>AVERAGE(E13:E17)</f>
        <v>100</v>
      </c>
      <c r="B13" s="1" t="s">
        <v>0</v>
      </c>
      <c r="C13" s="1">
        <v>3</v>
      </c>
      <c r="D13" s="1">
        <v>7.2</v>
      </c>
      <c r="E13" s="1">
        <f>(3600/D13*C13)/B2*100</f>
        <v>100</v>
      </c>
      <c r="F13" s="1">
        <f>E13/100*B2</f>
        <v>1500</v>
      </c>
    </row>
    <row r="14" spans="1:20" ht="37.5" x14ac:dyDescent="0.25">
      <c r="A14" s="1"/>
      <c r="B14" s="1" t="s">
        <v>1</v>
      </c>
      <c r="C14" s="1">
        <v>4</v>
      </c>
      <c r="D14" s="1">
        <v>6.4</v>
      </c>
      <c r="E14" s="1">
        <f>(3600/D14*C14)/B3*100</f>
        <v>100</v>
      </c>
      <c r="F14" s="1">
        <f t="shared" ref="F14:F17" si="2">E14/100*B3</f>
        <v>2250</v>
      </c>
    </row>
    <row r="15" spans="1:20" ht="37.5" x14ac:dyDescent="0.25">
      <c r="A15" s="1"/>
      <c r="B15" s="1" t="s">
        <v>2</v>
      </c>
      <c r="C15" s="1">
        <v>4</v>
      </c>
      <c r="D15" s="1">
        <v>6.4</v>
      </c>
      <c r="E15" s="1">
        <f>(3600/D15*C15)/B4*100</f>
        <v>100</v>
      </c>
      <c r="F15" s="1">
        <f t="shared" si="2"/>
        <v>2250</v>
      </c>
    </row>
    <row r="16" spans="1:20" ht="37.5" x14ac:dyDescent="0.25">
      <c r="A16" s="1"/>
      <c r="B16" s="1" t="s">
        <v>3</v>
      </c>
      <c r="C16" s="1">
        <v>1</v>
      </c>
      <c r="D16" s="1">
        <v>36</v>
      </c>
      <c r="E16" s="1">
        <f>(3600/D16*C16)/B5*100</f>
        <v>100</v>
      </c>
      <c r="F16" s="1">
        <f t="shared" si="2"/>
        <v>100</v>
      </c>
    </row>
    <row r="17" spans="1:6" ht="18.75" x14ac:dyDescent="0.25">
      <c r="A17" s="1"/>
      <c r="B17" s="1" t="s">
        <v>4</v>
      </c>
      <c r="C17" s="1">
        <v>1</v>
      </c>
      <c r="D17" s="1">
        <v>12</v>
      </c>
      <c r="E17" s="1">
        <f>(3600/D17*C17)/B6*100</f>
        <v>100</v>
      </c>
      <c r="F17" s="1">
        <f t="shared" si="2"/>
        <v>300</v>
      </c>
    </row>
    <row r="19" spans="1:6" x14ac:dyDescent="0.25">
      <c r="A19" t="s">
        <v>16</v>
      </c>
    </row>
    <row r="20" spans="1:6" x14ac:dyDescent="0.25">
      <c r="A20" t="s">
        <v>11</v>
      </c>
      <c r="B20" t="s">
        <v>5</v>
      </c>
      <c r="C20" t="s">
        <v>12</v>
      </c>
      <c r="D20" t="s">
        <v>13</v>
      </c>
      <c r="E20" t="s">
        <v>14</v>
      </c>
    </row>
    <row r="21" spans="1:6" ht="18.75" x14ac:dyDescent="0.25">
      <c r="A21" s="1">
        <f>AVERAGE(E21:E25)</f>
        <v>116.66666666666666</v>
      </c>
      <c r="B21" s="1" t="s">
        <v>0</v>
      </c>
      <c r="C21" s="1">
        <v>4</v>
      </c>
      <c r="D21" s="1">
        <v>7.2</v>
      </c>
      <c r="E21" s="1">
        <f>(3600/D21*C21)/B2*100</f>
        <v>133.33333333333331</v>
      </c>
      <c r="F21" s="1">
        <f>E21/100*B2</f>
        <v>1999.9999999999995</v>
      </c>
    </row>
    <row r="22" spans="1:6" ht="37.5" x14ac:dyDescent="0.25">
      <c r="A22" s="1"/>
      <c r="B22" s="1" t="s">
        <v>1</v>
      </c>
      <c r="C22" s="1">
        <v>5</v>
      </c>
      <c r="D22" s="1">
        <v>6.4</v>
      </c>
      <c r="E22" s="1">
        <f t="shared" ref="E22:E25" si="3">(3600/D22*C22)/B3*100</f>
        <v>125</v>
      </c>
      <c r="F22" s="1">
        <f t="shared" ref="F22:F25" si="4">E22/100*B3</f>
        <v>2812.5</v>
      </c>
    </row>
    <row r="23" spans="1:6" ht="37.5" x14ac:dyDescent="0.25">
      <c r="A23" s="1"/>
      <c r="B23" s="1" t="s">
        <v>2</v>
      </c>
      <c r="C23" s="1">
        <v>5</v>
      </c>
      <c r="D23" s="1">
        <v>6.4</v>
      </c>
      <c r="E23" s="1">
        <f t="shared" si="3"/>
        <v>125</v>
      </c>
      <c r="F23" s="1">
        <f t="shared" si="4"/>
        <v>2812.5</v>
      </c>
    </row>
    <row r="24" spans="1:6" ht="37.5" x14ac:dyDescent="0.25">
      <c r="A24" s="1"/>
      <c r="B24" s="1" t="s">
        <v>3</v>
      </c>
      <c r="C24" s="1">
        <v>1</v>
      </c>
      <c r="D24" s="1">
        <v>36</v>
      </c>
      <c r="E24" s="1">
        <f t="shared" si="3"/>
        <v>100</v>
      </c>
      <c r="F24" s="1">
        <f t="shared" si="4"/>
        <v>100</v>
      </c>
    </row>
    <row r="25" spans="1:6" ht="18.75" x14ac:dyDescent="0.25">
      <c r="A25" s="1"/>
      <c r="B25" s="1" t="s">
        <v>4</v>
      </c>
      <c r="C25" s="1">
        <v>1</v>
      </c>
      <c r="D25" s="1">
        <v>12</v>
      </c>
      <c r="E25" s="1">
        <f t="shared" si="3"/>
        <v>100</v>
      </c>
      <c r="F25" s="1">
        <f t="shared" si="4"/>
        <v>300</v>
      </c>
    </row>
    <row r="27" spans="1:6" x14ac:dyDescent="0.25">
      <c r="A27" t="s">
        <v>17</v>
      </c>
    </row>
    <row r="28" spans="1:6" x14ac:dyDescent="0.25">
      <c r="A28" t="s">
        <v>11</v>
      </c>
      <c r="B28" t="s">
        <v>5</v>
      </c>
      <c r="C28" t="s">
        <v>12</v>
      </c>
      <c r="D28" t="s">
        <v>13</v>
      </c>
      <c r="E28" t="s">
        <v>14</v>
      </c>
    </row>
    <row r="29" spans="1:6" ht="18.75" x14ac:dyDescent="0.25">
      <c r="A29" s="1">
        <f>AVERAGE(E29:E33)</f>
        <v>173.33333333333334</v>
      </c>
      <c r="B29" s="1" t="s">
        <v>0</v>
      </c>
      <c r="C29" s="1">
        <v>5</v>
      </c>
      <c r="D29" s="1">
        <v>7.2</v>
      </c>
      <c r="E29" s="1">
        <f>(3600/D29*C29)/B2*100</f>
        <v>166.66666666666669</v>
      </c>
      <c r="F29" s="1">
        <f>E29/100*B2</f>
        <v>2500.0000000000005</v>
      </c>
    </row>
    <row r="30" spans="1:6" ht="37.5" x14ac:dyDescent="0.25">
      <c r="A30" s="1"/>
      <c r="B30" s="1" t="s">
        <v>1</v>
      </c>
      <c r="C30" s="1">
        <v>6</v>
      </c>
      <c r="D30" s="1">
        <v>6.4</v>
      </c>
      <c r="E30" s="1">
        <f t="shared" ref="E30:E33" si="5">(3600/D30*C30)/B3*100</f>
        <v>150</v>
      </c>
      <c r="F30" s="1">
        <f t="shared" ref="F30:F33" si="6">E30/100*B3</f>
        <v>3375</v>
      </c>
    </row>
    <row r="31" spans="1:6" ht="37.5" x14ac:dyDescent="0.25">
      <c r="A31" s="1"/>
      <c r="B31" s="1" t="s">
        <v>2</v>
      </c>
      <c r="C31" s="1">
        <v>6</v>
      </c>
      <c r="D31" s="1">
        <v>6.4</v>
      </c>
      <c r="E31" s="1">
        <f t="shared" si="5"/>
        <v>150</v>
      </c>
      <c r="F31" s="1">
        <f t="shared" si="6"/>
        <v>3375</v>
      </c>
    </row>
    <row r="32" spans="1:6" ht="37.5" x14ac:dyDescent="0.25">
      <c r="A32" s="1"/>
      <c r="B32" s="1" t="s">
        <v>3</v>
      </c>
      <c r="C32" s="1">
        <v>2</v>
      </c>
      <c r="D32" s="1">
        <v>36</v>
      </c>
      <c r="E32" s="1">
        <f t="shared" si="5"/>
        <v>200</v>
      </c>
      <c r="F32" s="1">
        <f t="shared" si="6"/>
        <v>200</v>
      </c>
    </row>
    <row r="33" spans="1:6" ht="18.75" x14ac:dyDescent="0.25">
      <c r="A33" s="1"/>
      <c r="B33" s="1" t="s">
        <v>4</v>
      </c>
      <c r="C33" s="1">
        <v>2</v>
      </c>
      <c r="D33" s="1">
        <v>12</v>
      </c>
      <c r="E33" s="1">
        <f t="shared" si="5"/>
        <v>200</v>
      </c>
      <c r="F33" s="1">
        <f t="shared" si="6"/>
        <v>600</v>
      </c>
    </row>
    <row r="35" spans="1:6" x14ac:dyDescent="0.25">
      <c r="A35" t="s">
        <v>18</v>
      </c>
    </row>
    <row r="36" spans="1:6" x14ac:dyDescent="0.25">
      <c r="A36" t="s">
        <v>11</v>
      </c>
      <c r="B36" t="s">
        <v>5</v>
      </c>
      <c r="C36" t="s">
        <v>12</v>
      </c>
      <c r="D36" t="s">
        <v>13</v>
      </c>
      <c r="E36" t="s">
        <v>14</v>
      </c>
    </row>
    <row r="37" spans="1:6" ht="18.75" x14ac:dyDescent="0.25">
      <c r="A37" s="1">
        <f>AVERAGE(E37:E41)</f>
        <v>190</v>
      </c>
      <c r="B37" s="1" t="s">
        <v>0</v>
      </c>
      <c r="C37" s="1">
        <v>6</v>
      </c>
      <c r="D37" s="1">
        <v>7.2</v>
      </c>
      <c r="E37" s="1">
        <f>(3600/D37*C37)/B2*100</f>
        <v>200</v>
      </c>
      <c r="F37" s="1">
        <f>E37/100*B2</f>
        <v>3000</v>
      </c>
    </row>
    <row r="38" spans="1:6" ht="37.5" x14ac:dyDescent="0.25">
      <c r="A38" s="1"/>
      <c r="B38" s="1" t="s">
        <v>1</v>
      </c>
      <c r="C38" s="1">
        <v>7</v>
      </c>
      <c r="D38" s="1">
        <v>6.4</v>
      </c>
      <c r="E38" s="1">
        <f t="shared" ref="E38:E41" si="7">(3600/D38*C38)/B3*100</f>
        <v>175</v>
      </c>
      <c r="F38" s="1">
        <f t="shared" ref="F38:F41" si="8">E38/100*B3</f>
        <v>3937.5</v>
      </c>
    </row>
    <row r="39" spans="1:6" ht="37.5" x14ac:dyDescent="0.25">
      <c r="A39" s="1"/>
      <c r="B39" s="1" t="s">
        <v>2</v>
      </c>
      <c r="C39" s="1">
        <v>7</v>
      </c>
      <c r="D39" s="1">
        <v>6.4</v>
      </c>
      <c r="E39" s="1">
        <f t="shared" si="7"/>
        <v>175</v>
      </c>
      <c r="F39" s="1">
        <f t="shared" si="8"/>
        <v>3937.5</v>
      </c>
    </row>
    <row r="40" spans="1:6" ht="37.5" x14ac:dyDescent="0.25">
      <c r="A40" s="1"/>
      <c r="B40" s="1" t="s">
        <v>3</v>
      </c>
      <c r="C40" s="1">
        <v>2</v>
      </c>
      <c r="D40" s="1">
        <v>36</v>
      </c>
      <c r="E40" s="1">
        <f t="shared" si="7"/>
        <v>200</v>
      </c>
      <c r="F40" s="1">
        <f t="shared" si="8"/>
        <v>200</v>
      </c>
    </row>
    <row r="41" spans="1:6" ht="18.75" x14ac:dyDescent="0.25">
      <c r="A41" s="1"/>
      <c r="B41" s="1" t="s">
        <v>4</v>
      </c>
      <c r="C41" s="1">
        <v>2</v>
      </c>
      <c r="D41" s="1">
        <v>12</v>
      </c>
      <c r="E41" s="1">
        <f t="shared" si="7"/>
        <v>200</v>
      </c>
      <c r="F41" s="1">
        <f t="shared" si="8"/>
        <v>600</v>
      </c>
    </row>
    <row r="43" spans="1:6" x14ac:dyDescent="0.25">
      <c r="A43" t="s">
        <v>19</v>
      </c>
    </row>
    <row r="44" spans="1:6" x14ac:dyDescent="0.25">
      <c r="A44" t="s">
        <v>11</v>
      </c>
      <c r="B44" t="s">
        <v>5</v>
      </c>
      <c r="C44" t="s">
        <v>12</v>
      </c>
      <c r="D44" t="s">
        <v>13</v>
      </c>
      <c r="E44" t="s">
        <v>14</v>
      </c>
    </row>
    <row r="45" spans="1:6" ht="18.75" x14ac:dyDescent="0.25">
      <c r="A45" s="1">
        <f>AVERAGE(E45:E49)</f>
        <v>200</v>
      </c>
      <c r="B45" s="1" t="s">
        <v>0</v>
      </c>
      <c r="C45" s="1">
        <v>6</v>
      </c>
      <c r="D45" s="1">
        <v>7.2</v>
      </c>
      <c r="E45" s="1">
        <f>(3600/D45*C45)/B2*100</f>
        <v>200</v>
      </c>
      <c r="F45" s="1">
        <f>E45/100*B2</f>
        <v>3000</v>
      </c>
    </row>
    <row r="46" spans="1:6" ht="37.5" x14ac:dyDescent="0.25">
      <c r="A46" s="1"/>
      <c r="B46" s="1" t="s">
        <v>1</v>
      </c>
      <c r="C46" s="1">
        <v>8</v>
      </c>
      <c r="D46" s="1">
        <v>6.4</v>
      </c>
      <c r="E46" s="1">
        <f t="shared" ref="E46:E49" si="9">(3600/D46*C46)/B3*100</f>
        <v>200</v>
      </c>
      <c r="F46" s="1">
        <f t="shared" ref="F46:F49" si="10">E46/100*B3</f>
        <v>4500</v>
      </c>
    </row>
    <row r="47" spans="1:6" ht="37.5" x14ac:dyDescent="0.25">
      <c r="A47" s="1"/>
      <c r="B47" s="1" t="s">
        <v>2</v>
      </c>
      <c r="C47" s="1">
        <v>8</v>
      </c>
      <c r="D47" s="1">
        <v>6.4</v>
      </c>
      <c r="E47" s="1">
        <f t="shared" si="9"/>
        <v>200</v>
      </c>
      <c r="F47" s="1">
        <f t="shared" si="10"/>
        <v>4500</v>
      </c>
    </row>
    <row r="48" spans="1:6" ht="37.5" x14ac:dyDescent="0.25">
      <c r="A48" s="1"/>
      <c r="B48" s="1" t="s">
        <v>3</v>
      </c>
      <c r="C48" s="1">
        <v>2</v>
      </c>
      <c r="D48" s="1">
        <v>36</v>
      </c>
      <c r="E48" s="1">
        <f t="shared" si="9"/>
        <v>200</v>
      </c>
      <c r="F48" s="1">
        <f t="shared" si="10"/>
        <v>200</v>
      </c>
    </row>
    <row r="49" spans="1:6" ht="18.75" x14ac:dyDescent="0.25">
      <c r="A49" s="1"/>
      <c r="B49" s="1" t="s">
        <v>4</v>
      </c>
      <c r="C49" s="1">
        <v>2</v>
      </c>
      <c r="D49" s="1">
        <v>12</v>
      </c>
      <c r="E49" s="1">
        <f t="shared" si="9"/>
        <v>200</v>
      </c>
      <c r="F49" s="1">
        <f t="shared" si="10"/>
        <v>600</v>
      </c>
    </row>
    <row r="52" spans="1:6" x14ac:dyDescent="0.25">
      <c r="A52" t="s">
        <v>21</v>
      </c>
    </row>
    <row r="53" spans="1:6" x14ac:dyDescent="0.25">
      <c r="A53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Назаров</dc:creator>
  <cp:lastModifiedBy>Даниил Назаров</cp:lastModifiedBy>
  <dcterms:created xsi:type="dcterms:W3CDTF">2026-02-10T14:41:34Z</dcterms:created>
  <dcterms:modified xsi:type="dcterms:W3CDTF">2026-02-10T16:11:58Z</dcterms:modified>
</cp:coreProperties>
</file>