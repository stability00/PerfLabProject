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\Перфоманс лаб\PerfLabProject\"/>
    </mc:Choice>
  </mc:AlternateContent>
  <xr:revisionPtr revIDLastSave="0" documentId="13_ncr:1_{99E7D2FE-0111-447C-B5EE-DEB9C45AE777}" xr6:coauthVersionLast="47" xr6:coauthVersionMax="47" xr10:uidLastSave="{00000000-0000-0000-0000-000000000000}"/>
  <bookViews>
    <workbookView xWindow="-120" yWindow="-120" windowWidth="29040" windowHeight="15720" xr2:uid="{319F2C3D-6B4D-4FFA-AD0F-B54290DF8A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1" l="1"/>
  <c r="E75" i="1"/>
  <c r="G74" i="1"/>
  <c r="E74" i="1"/>
  <c r="G73" i="1"/>
  <c r="E73" i="1"/>
  <c r="G72" i="1"/>
  <c r="E72" i="1"/>
  <c r="G71" i="1"/>
  <c r="E71" i="1"/>
  <c r="F19" i="1"/>
  <c r="F20" i="1"/>
  <c r="F21" i="1"/>
  <c r="F22" i="1"/>
  <c r="F27" i="1"/>
  <c r="F28" i="1"/>
  <c r="F29" i="1"/>
  <c r="F30" i="1"/>
  <c r="F35" i="1"/>
  <c r="F36" i="1"/>
  <c r="F37" i="1"/>
  <c r="F38" i="1"/>
  <c r="F43" i="1"/>
  <c r="F44" i="1"/>
  <c r="F45" i="1"/>
  <c r="F46" i="1"/>
  <c r="F51" i="1"/>
  <c r="F52" i="1"/>
  <c r="F53" i="1"/>
  <c r="F54" i="1"/>
  <c r="F50" i="1"/>
  <c r="F42" i="1"/>
  <c r="F34" i="1"/>
  <c r="F26" i="1"/>
  <c r="F18" i="1"/>
  <c r="F11" i="1"/>
  <c r="F12" i="1"/>
  <c r="F13" i="1"/>
  <c r="F14" i="1"/>
  <c r="F10" i="1"/>
  <c r="E51" i="1"/>
  <c r="E52" i="1"/>
  <c r="E53" i="1"/>
  <c r="E54" i="1"/>
  <c r="E50" i="1"/>
  <c r="D54" i="1"/>
  <c r="D53" i="1"/>
  <c r="E43" i="1"/>
  <c r="E44" i="1"/>
  <c r="E42" i="1"/>
  <c r="E35" i="1"/>
  <c r="E36" i="1"/>
  <c r="E37" i="1"/>
  <c r="E38" i="1"/>
  <c r="E34" i="1"/>
  <c r="E27" i="1"/>
  <c r="E28" i="1"/>
  <c r="E30" i="1"/>
  <c r="E26" i="1"/>
  <c r="D46" i="1"/>
  <c r="E46" i="1" s="1"/>
  <c r="D45" i="1"/>
  <c r="E45" i="1" s="1"/>
  <c r="D38" i="1"/>
  <c r="D37" i="1"/>
  <c r="D30" i="1"/>
  <c r="D29" i="1"/>
  <c r="E29" i="1" s="1"/>
  <c r="D22" i="1"/>
  <c r="E22" i="1" s="1"/>
  <c r="D21" i="1"/>
  <c r="E21" i="1" s="1"/>
  <c r="E19" i="1"/>
  <c r="E20" i="1"/>
  <c r="E18" i="1"/>
  <c r="E10" i="1"/>
  <c r="E11" i="1"/>
  <c r="E12" i="1"/>
  <c r="E96" i="1"/>
  <c r="F96" i="1" s="1"/>
  <c r="D14" i="1"/>
  <c r="E14" i="1" s="1"/>
  <c r="D13" i="1"/>
  <c r="E13" i="1" s="1"/>
  <c r="G5" i="1"/>
  <c r="H5" i="1" s="1"/>
  <c r="E2" i="1"/>
  <c r="E113" i="1"/>
  <c r="F113" i="1" s="1"/>
  <c r="E114" i="1"/>
  <c r="F114" i="1" s="1"/>
  <c r="E115" i="1"/>
  <c r="F115" i="1" s="1"/>
  <c r="E116" i="1"/>
  <c r="F116" i="1" s="1"/>
  <c r="E112" i="1"/>
  <c r="F112" i="1" s="1"/>
  <c r="E105" i="1"/>
  <c r="F105" i="1" s="1"/>
  <c r="E106" i="1"/>
  <c r="F106" i="1" s="1"/>
  <c r="E107" i="1"/>
  <c r="F107" i="1" s="1"/>
  <c r="E108" i="1"/>
  <c r="F108" i="1" s="1"/>
  <c r="E104" i="1"/>
  <c r="A104" i="1" s="1"/>
  <c r="E97" i="1"/>
  <c r="F97" i="1" s="1"/>
  <c r="E98" i="1"/>
  <c r="F98" i="1" s="1"/>
  <c r="E99" i="1"/>
  <c r="F99" i="1" s="1"/>
  <c r="E100" i="1"/>
  <c r="F100" i="1" s="1"/>
  <c r="E89" i="1"/>
  <c r="F89" i="1" s="1"/>
  <c r="E90" i="1"/>
  <c r="F90" i="1" s="1"/>
  <c r="E91" i="1"/>
  <c r="F91" i="1" s="1"/>
  <c r="E92" i="1"/>
  <c r="F92" i="1" s="1"/>
  <c r="E88" i="1"/>
  <c r="F88" i="1" s="1"/>
  <c r="E80" i="1"/>
  <c r="A80" i="1" s="1"/>
  <c r="E81" i="1"/>
  <c r="F81" i="1" s="1"/>
  <c r="E82" i="1"/>
  <c r="F82" i="1" s="1"/>
  <c r="E83" i="1"/>
  <c r="F83" i="1" s="1"/>
  <c r="E84" i="1"/>
  <c r="F84" i="1" s="1"/>
  <c r="G2" i="1"/>
  <c r="H2" i="1" s="1"/>
  <c r="G3" i="1"/>
  <c r="H3" i="1" s="1"/>
  <c r="G4" i="1"/>
  <c r="H4" i="1" s="1"/>
  <c r="G6" i="1"/>
  <c r="H6" i="1" s="1"/>
  <c r="E3" i="1"/>
  <c r="E4" i="1"/>
  <c r="E5" i="1"/>
  <c r="E6" i="1"/>
  <c r="A50" i="1" l="1"/>
  <c r="A96" i="1"/>
  <c r="A10" i="1"/>
  <c r="A34" i="1"/>
  <c r="A42" i="1"/>
  <c r="F104" i="1"/>
  <c r="A112" i="1"/>
  <c r="A18" i="1"/>
  <c r="F80" i="1"/>
  <c r="A26" i="1"/>
  <c r="A88" i="1"/>
</calcChain>
</file>

<file path=xl/sharedStrings.xml><?xml version="1.0" encoding="utf-8"?>
<sst xmlns="http://schemas.openxmlformats.org/spreadsheetml/2006/main" count="158" uniqueCount="29">
  <si>
    <t>Регистрация</t>
  </si>
  <si>
    <t>Создание отчета</t>
  </si>
  <si>
    <t>Создание теста</t>
  </si>
  <si>
    <t>Создание тренда</t>
  </si>
  <si>
    <t>Запуск теста</t>
  </si>
  <si>
    <t>Название</t>
  </si>
  <si>
    <t>Профиль</t>
  </si>
  <si>
    <t>Время выполнения, сек</t>
  </si>
  <si>
    <t>SLA</t>
  </si>
  <si>
    <t>кол-во польз</t>
  </si>
  <si>
    <t>кол-во пользователей округленное</t>
  </si>
  <si>
    <t>ср-увеличение процента</t>
  </si>
  <si>
    <t>кол-во vusers</t>
  </si>
  <si>
    <t>pacing</t>
  </si>
  <si>
    <t>% нагрузки от профиля</t>
  </si>
  <si>
    <t>1 СТУПЕНЬ</t>
  </si>
  <si>
    <t>2 СТУПЕНЬ</t>
  </si>
  <si>
    <t>3 СТУПЕНЬ</t>
  </si>
  <si>
    <t>4 СТУПЕНЬ</t>
  </si>
  <si>
    <t>5 СТУПЕНЬ</t>
  </si>
  <si>
    <t>кол-во запросов</t>
  </si>
  <si>
    <t>по 5 мин на вход и выход userov</t>
  </si>
  <si>
    <t>по 22 мин на каждую ступень</t>
  </si>
  <si>
    <t>Pacing</t>
  </si>
  <si>
    <t>6 СТУПЕНЬ</t>
  </si>
  <si>
    <t>КОЛ-ВО ЗАПРОСОВ</t>
  </si>
  <si>
    <t>по 18 мин 20 СЕК на каждую ступень</t>
  </si>
  <si>
    <t>Расчеты с неровными ступенями</t>
  </si>
  <si>
    <t>Стабилизированный 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</si>
</sst>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3.95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3A8A-15CD-42A8-8B66-1B59E87C29AB}">
  <dimension ref="A1:DA120"/>
  <sheetViews>
    <sheetView tabSelected="1" zoomScale="85" zoomScaleNormal="85" workbookViewId="0">
      <selection activeCell="J82" sqref="J82"/>
    </sheetView>
  </sheetViews>
  <sheetFormatPr defaultRowHeight="15" x14ac:dyDescent="0.25"/>
  <cols>
    <col min="1" max="1" width="31" customWidth="1"/>
    <col min="2" max="2" width="17.42578125" customWidth="1"/>
    <col min="3" max="3" width="29.140625" customWidth="1"/>
    <col min="5" max="5" width="49" customWidth="1"/>
    <col min="6" max="6" width="18.28515625" customWidth="1"/>
    <col min="7" max="7" width="18.7109375" customWidth="1"/>
    <col min="8" max="8" width="31.28515625" customWidth="1"/>
    <col min="9" max="9" width="18.28515625" customWidth="1"/>
    <col min="11" max="11" width="15" bestFit="1" customWidth="1"/>
  </cols>
  <sheetData>
    <row r="1" spans="1:8" ht="56.2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23</v>
      </c>
      <c r="H1" s="4" t="s">
        <v>28</v>
      </c>
    </row>
    <row r="2" spans="1:8" ht="18.75" x14ac:dyDescent="0.25">
      <c r="A2" s="4" t="s">
        <v>0</v>
      </c>
      <c r="B2" s="4">
        <v>1500</v>
      </c>
      <c r="C2" s="4">
        <v>6</v>
      </c>
      <c r="D2" s="4">
        <v>12</v>
      </c>
      <c r="E2" s="4">
        <f>B2/(3600/C2)</f>
        <v>2.5</v>
      </c>
      <c r="F2" s="4">
        <v>3</v>
      </c>
      <c r="G2" s="4">
        <f>3600/(B2/F2)</f>
        <v>7.2</v>
      </c>
      <c r="H2" s="4">
        <f>G2/F2*5</f>
        <v>12</v>
      </c>
    </row>
    <row r="3" spans="1:8" ht="18.75" x14ac:dyDescent="0.25">
      <c r="A3" s="4" t="s">
        <v>1</v>
      </c>
      <c r="B3" s="4">
        <v>2250</v>
      </c>
      <c r="C3" s="4">
        <v>5</v>
      </c>
      <c r="D3" s="4">
        <v>10</v>
      </c>
      <c r="E3" s="4">
        <f>B3/(3600/C3)</f>
        <v>3.125</v>
      </c>
      <c r="F3" s="4">
        <v>4</v>
      </c>
      <c r="G3" s="4">
        <f>3600/(B3/F3)</f>
        <v>6.4</v>
      </c>
      <c r="H3" s="4">
        <f t="shared" ref="H3:H6" si="0">G3/F3*5</f>
        <v>8</v>
      </c>
    </row>
    <row r="4" spans="1:8" ht="18.75" x14ac:dyDescent="0.25">
      <c r="A4" s="4" t="s">
        <v>2</v>
      </c>
      <c r="B4" s="4">
        <v>2250</v>
      </c>
      <c r="C4" s="4">
        <v>5</v>
      </c>
      <c r="D4" s="4">
        <v>10</v>
      </c>
      <c r="E4" s="4">
        <f>B4/(3600/C4)</f>
        <v>3.125</v>
      </c>
      <c r="F4" s="4">
        <v>4</v>
      </c>
      <c r="G4" s="4">
        <f>3600/(B4/F4)</f>
        <v>6.4</v>
      </c>
      <c r="H4" s="4">
        <f t="shared" si="0"/>
        <v>8</v>
      </c>
    </row>
    <row r="5" spans="1:8" ht="18.75" x14ac:dyDescent="0.25">
      <c r="A5" s="4" t="s">
        <v>3</v>
      </c>
      <c r="B5" s="4">
        <v>100</v>
      </c>
      <c r="C5" s="4">
        <v>6</v>
      </c>
      <c r="D5" s="4">
        <v>12</v>
      </c>
      <c r="E5" s="4">
        <f>B5/(3600/C5)</f>
        <v>0.16666666666666666</v>
      </c>
      <c r="F5" s="4">
        <v>1</v>
      </c>
      <c r="G5" s="4">
        <f>3600/(B5/F5)</f>
        <v>36</v>
      </c>
      <c r="H5" s="4">
        <f t="shared" si="0"/>
        <v>180</v>
      </c>
    </row>
    <row r="6" spans="1:8" ht="18.75" x14ac:dyDescent="0.25">
      <c r="A6" s="4" t="s">
        <v>4</v>
      </c>
      <c r="B6" s="4">
        <v>300</v>
      </c>
      <c r="C6" s="4">
        <v>6</v>
      </c>
      <c r="D6" s="4">
        <v>12</v>
      </c>
      <c r="E6" s="4">
        <f>B6/(3600/C6)</f>
        <v>0.5</v>
      </c>
      <c r="F6" s="4">
        <v>1</v>
      </c>
      <c r="G6" s="4">
        <f>3600/(B6/F6)</f>
        <v>12</v>
      </c>
      <c r="H6" s="4">
        <f t="shared" si="0"/>
        <v>60</v>
      </c>
    </row>
    <row r="8" spans="1:8" x14ac:dyDescent="0.25">
      <c r="A8" t="s">
        <v>15</v>
      </c>
    </row>
    <row r="9" spans="1:8" x14ac:dyDescent="0.25">
      <c r="A9" t="s">
        <v>11</v>
      </c>
      <c r="B9" t="s">
        <v>5</v>
      </c>
      <c r="C9" t="s">
        <v>12</v>
      </c>
      <c r="D9" t="s">
        <v>13</v>
      </c>
      <c r="E9" t="s">
        <v>14</v>
      </c>
      <c r="F9" t="s">
        <v>25</v>
      </c>
    </row>
    <row r="10" spans="1:8" ht="18.75" x14ac:dyDescent="0.25">
      <c r="A10" s="1">
        <f>AVERAGE(E10:E14)</f>
        <v>100</v>
      </c>
      <c r="B10" s="1" t="s">
        <v>0</v>
      </c>
      <c r="C10" s="1">
        <v>5</v>
      </c>
      <c r="D10" s="1">
        <v>12</v>
      </c>
      <c r="E10" s="1">
        <f>(3600/D10*C10)/B2*100</f>
        <v>100</v>
      </c>
      <c r="F10" s="1">
        <f>3600/D10*C10</f>
        <v>1500</v>
      </c>
    </row>
    <row r="11" spans="1:8" ht="37.5" x14ac:dyDescent="0.25">
      <c r="A11" s="1"/>
      <c r="B11" s="1" t="s">
        <v>1</v>
      </c>
      <c r="C11" s="1">
        <v>5</v>
      </c>
      <c r="D11" s="1">
        <v>8</v>
      </c>
      <c r="E11" s="1">
        <f>(3600/D11*C11)/B3*100</f>
        <v>100</v>
      </c>
      <c r="F11" s="1">
        <f t="shared" ref="F11:F14" si="1">3600/D11*C11</f>
        <v>2250</v>
      </c>
    </row>
    <row r="12" spans="1:8" ht="37.5" x14ac:dyDescent="0.25">
      <c r="A12" s="1"/>
      <c r="B12" s="1" t="s">
        <v>2</v>
      </c>
      <c r="C12" s="1">
        <v>5</v>
      </c>
      <c r="D12" s="1">
        <v>8</v>
      </c>
      <c r="E12" s="1">
        <f>(3600/D12*C12)/B4*100</f>
        <v>100</v>
      </c>
      <c r="F12" s="1">
        <f t="shared" si="1"/>
        <v>2250</v>
      </c>
    </row>
    <row r="13" spans="1:8" ht="37.5" x14ac:dyDescent="0.25">
      <c r="A13" s="1"/>
      <c r="B13" s="1" t="s">
        <v>3</v>
      </c>
      <c r="C13" s="1">
        <v>5</v>
      </c>
      <c r="D13" s="1">
        <f>36*5</f>
        <v>180</v>
      </c>
      <c r="E13" s="1">
        <f>(3600/D13*C13)/B5*100</f>
        <v>100</v>
      </c>
      <c r="F13" s="1">
        <f t="shared" si="1"/>
        <v>100</v>
      </c>
    </row>
    <row r="14" spans="1:8" ht="18.75" x14ac:dyDescent="0.25">
      <c r="A14" s="1"/>
      <c r="B14" s="1" t="s">
        <v>4</v>
      </c>
      <c r="C14" s="1">
        <v>5</v>
      </c>
      <c r="D14" s="1">
        <f>12*5</f>
        <v>60</v>
      </c>
      <c r="E14" s="1">
        <f>(3600/D14*C14)/B6*100</f>
        <v>100</v>
      </c>
      <c r="F14" s="1">
        <f t="shared" si="1"/>
        <v>300</v>
      </c>
    </row>
    <row r="16" spans="1:8" x14ac:dyDescent="0.25">
      <c r="A16" t="s">
        <v>16</v>
      </c>
    </row>
    <row r="17" spans="1:6" x14ac:dyDescent="0.25">
      <c r="A17" t="s">
        <v>11</v>
      </c>
      <c r="B17" t="s">
        <v>5</v>
      </c>
      <c r="C17" t="s">
        <v>12</v>
      </c>
      <c r="D17" t="s">
        <v>13</v>
      </c>
      <c r="E17" t="s">
        <v>14</v>
      </c>
      <c r="F17" t="s">
        <v>25</v>
      </c>
    </row>
    <row r="18" spans="1:6" ht="18.75" x14ac:dyDescent="0.25">
      <c r="A18" s="1">
        <f>AVERAGE(E18:E22)</f>
        <v>120</v>
      </c>
      <c r="B18" s="1" t="s">
        <v>0</v>
      </c>
      <c r="C18" s="1">
        <v>6</v>
      </c>
      <c r="D18" s="1">
        <v>12</v>
      </c>
      <c r="E18" s="1">
        <f>(3600/D18*C18)/B2*100</f>
        <v>120</v>
      </c>
      <c r="F18" s="1">
        <f>3600/D18*C18</f>
        <v>1800</v>
      </c>
    </row>
    <row r="19" spans="1:6" ht="37.5" x14ac:dyDescent="0.25">
      <c r="A19" s="1"/>
      <c r="B19" s="1" t="s">
        <v>1</v>
      </c>
      <c r="C19" s="1">
        <v>6</v>
      </c>
      <c r="D19" s="1">
        <v>8</v>
      </c>
      <c r="E19" s="1">
        <f>(3600/D19*C19)/B3*100</f>
        <v>120</v>
      </c>
      <c r="F19" s="1">
        <f t="shared" ref="F19:F22" si="2">3600/D19*C19</f>
        <v>2700</v>
      </c>
    </row>
    <row r="20" spans="1:6" ht="37.5" x14ac:dyDescent="0.25">
      <c r="A20" s="1"/>
      <c r="B20" s="1" t="s">
        <v>2</v>
      </c>
      <c r="C20" s="1">
        <v>6</v>
      </c>
      <c r="D20" s="1">
        <v>8</v>
      </c>
      <c r="E20" s="1">
        <f>(3600/D20*C20)/B4*100</f>
        <v>120</v>
      </c>
      <c r="F20" s="1">
        <f t="shared" si="2"/>
        <v>2700</v>
      </c>
    </row>
    <row r="21" spans="1:6" ht="37.5" x14ac:dyDescent="0.25">
      <c r="A21" s="1"/>
      <c r="B21" s="1" t="s">
        <v>3</v>
      </c>
      <c r="C21" s="1">
        <v>6</v>
      </c>
      <c r="D21" s="1">
        <f>36*5</f>
        <v>180</v>
      </c>
      <c r="E21" s="1">
        <f>(3600/D21*C21)/B5*100</f>
        <v>120</v>
      </c>
      <c r="F21" s="1">
        <f t="shared" si="2"/>
        <v>120</v>
      </c>
    </row>
    <row r="22" spans="1:6" ht="18.75" x14ac:dyDescent="0.25">
      <c r="A22" s="1"/>
      <c r="B22" s="1" t="s">
        <v>4</v>
      </c>
      <c r="C22" s="1">
        <v>6</v>
      </c>
      <c r="D22" s="1">
        <f>12*5</f>
        <v>60</v>
      </c>
      <c r="E22" s="1">
        <f>(3600/D22*C22)/B6*100</f>
        <v>120</v>
      </c>
      <c r="F22" s="1">
        <f t="shared" si="2"/>
        <v>360</v>
      </c>
    </row>
    <row r="24" spans="1:6" x14ac:dyDescent="0.25">
      <c r="A24" t="s">
        <v>17</v>
      </c>
    </row>
    <row r="25" spans="1:6" x14ac:dyDescent="0.25">
      <c r="A25" t="s">
        <v>11</v>
      </c>
      <c r="B25" t="s">
        <v>5</v>
      </c>
      <c r="C25" t="s">
        <v>12</v>
      </c>
      <c r="D25" t="s">
        <v>13</v>
      </c>
      <c r="E25" t="s">
        <v>14</v>
      </c>
      <c r="F25" t="s">
        <v>25</v>
      </c>
    </row>
    <row r="26" spans="1:6" ht="18.75" x14ac:dyDescent="0.25">
      <c r="A26" s="1">
        <f>AVERAGE(E26:E30)</f>
        <v>140</v>
      </c>
      <c r="B26" s="1" t="s">
        <v>0</v>
      </c>
      <c r="C26" s="1">
        <v>7</v>
      </c>
      <c r="D26" s="1">
        <v>12</v>
      </c>
      <c r="E26" s="1">
        <f>(3600/D26*C26)/B2*100</f>
        <v>140</v>
      </c>
      <c r="F26" s="1">
        <f>3600/D26*C26</f>
        <v>2100</v>
      </c>
    </row>
    <row r="27" spans="1:6" ht="37.5" x14ac:dyDescent="0.25">
      <c r="A27" s="1"/>
      <c r="B27" s="1" t="s">
        <v>1</v>
      </c>
      <c r="C27" s="1">
        <v>7</v>
      </c>
      <c r="D27" s="1">
        <v>8</v>
      </c>
      <c r="E27" s="1">
        <f>(3600/D27*C27)/B3*100</f>
        <v>140</v>
      </c>
      <c r="F27" s="1">
        <f t="shared" ref="F27:F30" si="3">3600/D27*C27</f>
        <v>3150</v>
      </c>
    </row>
    <row r="28" spans="1:6" ht="37.5" x14ac:dyDescent="0.25">
      <c r="A28" s="1"/>
      <c r="B28" s="1" t="s">
        <v>2</v>
      </c>
      <c r="C28" s="1">
        <v>7</v>
      </c>
      <c r="D28" s="1">
        <v>8</v>
      </c>
      <c r="E28" s="1">
        <f>(3600/D28*C28)/B4*100</f>
        <v>140</v>
      </c>
      <c r="F28" s="1">
        <f t="shared" si="3"/>
        <v>3150</v>
      </c>
    </row>
    <row r="29" spans="1:6" ht="37.5" x14ac:dyDescent="0.25">
      <c r="A29" s="1"/>
      <c r="B29" s="1" t="s">
        <v>3</v>
      </c>
      <c r="C29" s="1">
        <v>7</v>
      </c>
      <c r="D29" s="1">
        <f>36*5</f>
        <v>180</v>
      </c>
      <c r="E29" s="1">
        <f>(3600/D29*C29)/B5*100</f>
        <v>140</v>
      </c>
      <c r="F29" s="1">
        <f t="shared" si="3"/>
        <v>140</v>
      </c>
    </row>
    <row r="30" spans="1:6" ht="18.75" x14ac:dyDescent="0.25">
      <c r="A30" s="1"/>
      <c r="B30" s="1" t="s">
        <v>4</v>
      </c>
      <c r="C30" s="1">
        <v>7</v>
      </c>
      <c r="D30" s="1">
        <f>12*5</f>
        <v>60</v>
      </c>
      <c r="E30" s="1">
        <f>(3600/D30*C30)/B6*100</f>
        <v>140</v>
      </c>
      <c r="F30" s="1">
        <f t="shared" si="3"/>
        <v>420</v>
      </c>
    </row>
    <row r="32" spans="1:6" x14ac:dyDescent="0.25">
      <c r="A32" t="s">
        <v>18</v>
      </c>
    </row>
    <row r="33" spans="1:6" x14ac:dyDescent="0.25">
      <c r="A33" t="s">
        <v>11</v>
      </c>
      <c r="B33" t="s">
        <v>5</v>
      </c>
      <c r="C33" t="s">
        <v>12</v>
      </c>
      <c r="D33" t="s">
        <v>13</v>
      </c>
      <c r="E33" t="s">
        <v>14</v>
      </c>
      <c r="F33" t="s">
        <v>25</v>
      </c>
    </row>
    <row r="34" spans="1:6" ht="18.75" x14ac:dyDescent="0.25">
      <c r="A34" s="1">
        <f>AVERAGE(E34:E38)</f>
        <v>160</v>
      </c>
      <c r="B34" s="1" t="s">
        <v>0</v>
      </c>
      <c r="C34" s="1">
        <v>8</v>
      </c>
      <c r="D34" s="1">
        <v>12</v>
      </c>
      <c r="E34" s="1">
        <f>(3600/D34*C34)/B2*100</f>
        <v>160</v>
      </c>
      <c r="F34" s="1">
        <f>3600/D34*C34</f>
        <v>2400</v>
      </c>
    </row>
    <row r="35" spans="1:6" ht="37.5" x14ac:dyDescent="0.25">
      <c r="A35" s="1"/>
      <c r="B35" s="1" t="s">
        <v>1</v>
      </c>
      <c r="C35" s="1">
        <v>8</v>
      </c>
      <c r="D35">
        <v>8</v>
      </c>
      <c r="E35" s="1">
        <f>(3600/D35*C35)/B3*100</f>
        <v>160</v>
      </c>
      <c r="F35" s="1">
        <f t="shared" ref="F35:F38" si="4">3600/D35*C35</f>
        <v>3600</v>
      </c>
    </row>
    <row r="36" spans="1:6" ht="37.5" x14ac:dyDescent="0.25">
      <c r="A36" s="1"/>
      <c r="B36" s="1" t="s">
        <v>2</v>
      </c>
      <c r="C36" s="1">
        <v>8</v>
      </c>
      <c r="D36" s="1">
        <v>8</v>
      </c>
      <c r="E36" s="1">
        <f>(3600/D36*C36)/B4*100</f>
        <v>160</v>
      </c>
      <c r="F36" s="1">
        <f t="shared" si="4"/>
        <v>3600</v>
      </c>
    </row>
    <row r="37" spans="1:6" ht="37.5" x14ac:dyDescent="0.25">
      <c r="A37" s="1"/>
      <c r="B37" s="1" t="s">
        <v>3</v>
      </c>
      <c r="C37" s="1">
        <v>8</v>
      </c>
      <c r="D37" s="1">
        <f>36*5</f>
        <v>180</v>
      </c>
      <c r="E37" s="1">
        <f>(3600/D37*C37)/B5*100</f>
        <v>160</v>
      </c>
      <c r="F37" s="1">
        <f t="shared" si="4"/>
        <v>160</v>
      </c>
    </row>
    <row r="38" spans="1:6" ht="18.75" x14ac:dyDescent="0.25">
      <c r="A38" s="1"/>
      <c r="B38" s="1" t="s">
        <v>4</v>
      </c>
      <c r="C38" s="1">
        <v>8</v>
      </c>
      <c r="D38" s="1">
        <f>12*5</f>
        <v>60</v>
      </c>
      <c r="E38" s="1">
        <f>(3600/D38*C38)/B6*100</f>
        <v>160</v>
      </c>
      <c r="F38" s="1">
        <f t="shared" si="4"/>
        <v>480</v>
      </c>
    </row>
    <row r="40" spans="1:6" x14ac:dyDescent="0.25">
      <c r="A40" t="s">
        <v>19</v>
      </c>
    </row>
    <row r="41" spans="1:6" x14ac:dyDescent="0.25">
      <c r="A41" t="s">
        <v>11</v>
      </c>
      <c r="B41" t="s">
        <v>5</v>
      </c>
      <c r="C41" t="s">
        <v>12</v>
      </c>
      <c r="D41" t="s">
        <v>13</v>
      </c>
      <c r="E41" t="s">
        <v>14</v>
      </c>
      <c r="F41" t="s">
        <v>25</v>
      </c>
    </row>
    <row r="42" spans="1:6" ht="18.75" x14ac:dyDescent="0.25">
      <c r="A42" s="1">
        <f>AVERAGE(E42:E46)</f>
        <v>180</v>
      </c>
      <c r="B42" s="1" t="s">
        <v>0</v>
      </c>
      <c r="C42" s="1">
        <v>9</v>
      </c>
      <c r="D42" s="1">
        <v>12</v>
      </c>
      <c r="E42" s="1">
        <f>(3600/D42*C42)/B2*100</f>
        <v>180</v>
      </c>
      <c r="F42" s="1">
        <f>3600/D42*C42</f>
        <v>2700</v>
      </c>
    </row>
    <row r="43" spans="1:6" ht="37.5" x14ac:dyDescent="0.25">
      <c r="A43" s="1"/>
      <c r="B43" s="1" t="s">
        <v>1</v>
      </c>
      <c r="C43" s="1">
        <v>9</v>
      </c>
      <c r="D43" s="1">
        <v>8</v>
      </c>
      <c r="E43" s="1">
        <f>(3600/D43*C43)/B3*100</f>
        <v>180</v>
      </c>
      <c r="F43" s="1">
        <f t="shared" ref="F43:F46" si="5">3600/D43*C43</f>
        <v>4050</v>
      </c>
    </row>
    <row r="44" spans="1:6" ht="37.5" x14ac:dyDescent="0.25">
      <c r="A44" s="1"/>
      <c r="B44" s="1" t="s">
        <v>2</v>
      </c>
      <c r="C44" s="1">
        <v>9</v>
      </c>
      <c r="D44" s="1">
        <v>8</v>
      </c>
      <c r="E44" s="1">
        <f>(3600/D44*C44)/B4*100</f>
        <v>180</v>
      </c>
      <c r="F44" s="1">
        <f t="shared" si="5"/>
        <v>4050</v>
      </c>
    </row>
    <row r="45" spans="1:6" ht="37.5" x14ac:dyDescent="0.25">
      <c r="A45" s="1"/>
      <c r="B45" s="1" t="s">
        <v>3</v>
      </c>
      <c r="C45" s="1">
        <v>9</v>
      </c>
      <c r="D45" s="1">
        <f>36*5</f>
        <v>180</v>
      </c>
      <c r="E45" s="1">
        <f>(3600/D45*C45)/B5*100</f>
        <v>180</v>
      </c>
      <c r="F45" s="1">
        <f t="shared" si="5"/>
        <v>180</v>
      </c>
    </row>
    <row r="46" spans="1:6" ht="18.75" x14ac:dyDescent="0.25">
      <c r="A46" s="1"/>
      <c r="B46" s="1" t="s">
        <v>4</v>
      </c>
      <c r="C46" s="1">
        <v>9</v>
      </c>
      <c r="D46" s="1">
        <f>12*5</f>
        <v>60</v>
      </c>
      <c r="E46" s="1">
        <f>(3600/D46*C46)/B6*100</f>
        <v>180</v>
      </c>
      <c r="F46" s="1">
        <f t="shared" si="5"/>
        <v>540</v>
      </c>
    </row>
    <row r="48" spans="1:6" x14ac:dyDescent="0.25">
      <c r="A48" t="s">
        <v>24</v>
      </c>
    </row>
    <row r="49" spans="1:105" x14ac:dyDescent="0.25">
      <c r="A49" t="s">
        <v>11</v>
      </c>
      <c r="B49" t="s">
        <v>5</v>
      </c>
      <c r="C49" t="s">
        <v>12</v>
      </c>
      <c r="D49" t="s">
        <v>13</v>
      </c>
      <c r="E49" t="s">
        <v>14</v>
      </c>
      <c r="F49" t="s">
        <v>25</v>
      </c>
    </row>
    <row r="50" spans="1:105" ht="18.75" x14ac:dyDescent="0.25">
      <c r="A50" s="1">
        <f>AVERAGE(E50:E54)</f>
        <v>200</v>
      </c>
      <c r="B50" s="1" t="s">
        <v>0</v>
      </c>
      <c r="C50" s="1">
        <v>10</v>
      </c>
      <c r="D50" s="1">
        <v>12</v>
      </c>
      <c r="E50" s="1">
        <f>(3600/D50*C50)/B2*100</f>
        <v>200</v>
      </c>
      <c r="F50" s="1">
        <f>3600/D50*C50</f>
        <v>3000</v>
      </c>
    </row>
    <row r="51" spans="1:105" ht="37.5" x14ac:dyDescent="0.25">
      <c r="A51" s="1"/>
      <c r="B51" s="1" t="s">
        <v>1</v>
      </c>
      <c r="C51" s="1">
        <v>10</v>
      </c>
      <c r="D51" s="1">
        <v>8</v>
      </c>
      <c r="E51" s="1">
        <f>(3600/D51*C51)/B3*100</f>
        <v>200</v>
      </c>
      <c r="F51" s="1">
        <f t="shared" ref="F51:F54" si="6">3600/D51*C51</f>
        <v>4500</v>
      </c>
    </row>
    <row r="52" spans="1:105" ht="37.5" x14ac:dyDescent="0.25">
      <c r="A52" s="1"/>
      <c r="B52" s="1" t="s">
        <v>2</v>
      </c>
      <c r="C52" s="1">
        <v>10</v>
      </c>
      <c r="D52" s="1">
        <v>8</v>
      </c>
      <c r="E52" s="1">
        <f>(3600/D52*C52)/B4*100</f>
        <v>200</v>
      </c>
      <c r="F52" s="1">
        <f t="shared" si="6"/>
        <v>4500</v>
      </c>
    </row>
    <row r="53" spans="1:105" ht="37.5" x14ac:dyDescent="0.25">
      <c r="A53" s="1"/>
      <c r="B53" s="1" t="s">
        <v>3</v>
      </c>
      <c r="C53" s="1">
        <v>10</v>
      </c>
      <c r="D53" s="1">
        <f>36*5</f>
        <v>180</v>
      </c>
      <c r="E53" s="1">
        <f>(3600/D53*C53)/B5*100</f>
        <v>200</v>
      </c>
      <c r="F53" s="1">
        <f t="shared" si="6"/>
        <v>200</v>
      </c>
    </row>
    <row r="54" spans="1:105" ht="18.75" x14ac:dyDescent="0.25">
      <c r="A54" s="1"/>
      <c r="B54" s="1" t="s">
        <v>4</v>
      </c>
      <c r="C54" s="1">
        <v>10</v>
      </c>
      <c r="D54" s="1">
        <f>12*5</f>
        <v>60</v>
      </c>
      <c r="E54" s="1">
        <f>(3600/D54*C54)/B6*100</f>
        <v>200</v>
      </c>
      <c r="F54" s="1">
        <f t="shared" si="6"/>
        <v>600</v>
      </c>
    </row>
    <row r="56" spans="1:105" x14ac:dyDescent="0.25">
      <c r="A56" t="s">
        <v>21</v>
      </c>
    </row>
    <row r="57" spans="1:105" x14ac:dyDescent="0.25">
      <c r="A57" t="s">
        <v>26</v>
      </c>
    </row>
    <row r="64" spans="1:10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8" spans="1:7" x14ac:dyDescent="0.25">
      <c r="A68" s="3" t="s">
        <v>27</v>
      </c>
    </row>
    <row r="70" spans="1:7" ht="56.25" x14ac:dyDescent="0.25">
      <c r="A70" s="4" t="s">
        <v>5</v>
      </c>
      <c r="B70" s="4" t="s">
        <v>6</v>
      </c>
      <c r="C70" s="4" t="s">
        <v>7</v>
      </c>
      <c r="D70" s="4" t="s">
        <v>8</v>
      </c>
      <c r="E70" s="4" t="s">
        <v>9</v>
      </c>
      <c r="F70" s="4" t="s">
        <v>10</v>
      </c>
      <c r="G70" s="4" t="s">
        <v>23</v>
      </c>
    </row>
    <row r="71" spans="1:7" ht="18.75" x14ac:dyDescent="0.25">
      <c r="A71" s="4" t="s">
        <v>0</v>
      </c>
      <c r="B71" s="4">
        <v>1500</v>
      </c>
      <c r="C71" s="4">
        <v>6</v>
      </c>
      <c r="D71" s="4">
        <v>12</v>
      </c>
      <c r="E71" s="4">
        <f>B71/(3600/C71)</f>
        <v>2.5</v>
      </c>
      <c r="F71" s="4">
        <v>3</v>
      </c>
      <c r="G71" s="4">
        <f>3600/(B71/F71)</f>
        <v>7.2</v>
      </c>
    </row>
    <row r="72" spans="1:7" ht="18.75" x14ac:dyDescent="0.25">
      <c r="A72" s="4" t="s">
        <v>1</v>
      </c>
      <c r="B72" s="4">
        <v>2250</v>
      </c>
      <c r="C72" s="4">
        <v>5</v>
      </c>
      <c r="D72" s="4">
        <v>10</v>
      </c>
      <c r="E72" s="4">
        <f>B72/(3600/C72)</f>
        <v>3.125</v>
      </c>
      <c r="F72" s="4">
        <v>4</v>
      </c>
      <c r="G72" s="4">
        <f>3600/(B72/F72)</f>
        <v>6.4</v>
      </c>
    </row>
    <row r="73" spans="1:7" ht="18.75" x14ac:dyDescent="0.25">
      <c r="A73" s="4" t="s">
        <v>2</v>
      </c>
      <c r="B73" s="4">
        <v>2250</v>
      </c>
      <c r="C73" s="4">
        <v>5</v>
      </c>
      <c r="D73" s="4">
        <v>10</v>
      </c>
      <c r="E73" s="4">
        <f>B73/(3600/C73)</f>
        <v>3.125</v>
      </c>
      <c r="F73" s="4">
        <v>4</v>
      </c>
      <c r="G73" s="4">
        <f>3600/(B73/F73)</f>
        <v>6.4</v>
      </c>
    </row>
    <row r="74" spans="1:7" ht="18.75" x14ac:dyDescent="0.25">
      <c r="A74" s="4" t="s">
        <v>3</v>
      </c>
      <c r="B74" s="4">
        <v>100</v>
      </c>
      <c r="C74" s="4">
        <v>6</v>
      </c>
      <c r="D74" s="4">
        <v>12</v>
      </c>
      <c r="E74" s="4">
        <f>B74/(3600/C74)</f>
        <v>0.16666666666666666</v>
      </c>
      <c r="F74" s="4">
        <v>1</v>
      </c>
      <c r="G74" s="4">
        <f>3600/(B74/F74)</f>
        <v>36</v>
      </c>
    </row>
    <row r="75" spans="1:7" ht="18.75" x14ac:dyDescent="0.25">
      <c r="A75" s="4" t="s">
        <v>4</v>
      </c>
      <c r="B75" s="4">
        <v>300</v>
      </c>
      <c r="C75" s="4">
        <v>6</v>
      </c>
      <c r="D75" s="4">
        <v>12</v>
      </c>
      <c r="E75" s="4">
        <f>B75/(3600/C75)</f>
        <v>0.5</v>
      </c>
      <c r="F75" s="4">
        <v>1</v>
      </c>
      <c r="G75" s="4">
        <f>3600/(B75/F75)</f>
        <v>12</v>
      </c>
    </row>
    <row r="78" spans="1:7" x14ac:dyDescent="0.25">
      <c r="A78" t="s">
        <v>15</v>
      </c>
    </row>
    <row r="79" spans="1:7" x14ac:dyDescent="0.25">
      <c r="A79" t="s">
        <v>11</v>
      </c>
      <c r="B79" t="s">
        <v>5</v>
      </c>
      <c r="C79" t="s">
        <v>12</v>
      </c>
      <c r="D79" t="s">
        <v>13</v>
      </c>
      <c r="E79" t="s">
        <v>14</v>
      </c>
      <c r="F79" t="s">
        <v>20</v>
      </c>
    </row>
    <row r="80" spans="1:7" ht="18.75" x14ac:dyDescent="0.25">
      <c r="A80" s="1">
        <f>AVERAGE(E80:E84)</f>
        <v>100</v>
      </c>
      <c r="B80" s="1" t="s">
        <v>0</v>
      </c>
      <c r="C80" s="1">
        <v>3</v>
      </c>
      <c r="D80" s="1">
        <v>7.2</v>
      </c>
      <c r="E80" s="1">
        <f>(3600/D80*C80)/B2*100</f>
        <v>100</v>
      </c>
      <c r="F80" s="1">
        <f>E80/100*B2</f>
        <v>1500</v>
      </c>
    </row>
    <row r="81" spans="1:6" ht="37.5" x14ac:dyDescent="0.25">
      <c r="A81" s="1"/>
      <c r="B81" s="1" t="s">
        <v>1</v>
      </c>
      <c r="C81" s="1">
        <v>4</v>
      </c>
      <c r="D81" s="1">
        <v>6.4</v>
      </c>
      <c r="E81" s="1">
        <f>(3600/D81*C81)/B3*100</f>
        <v>100</v>
      </c>
      <c r="F81" s="1">
        <f>E81/100*B3</f>
        <v>2250</v>
      </c>
    </row>
    <row r="82" spans="1:6" ht="37.5" x14ac:dyDescent="0.25">
      <c r="A82" s="1"/>
      <c r="B82" s="1" t="s">
        <v>2</v>
      </c>
      <c r="C82" s="1">
        <v>4</v>
      </c>
      <c r="D82" s="1">
        <v>6.4</v>
      </c>
      <c r="E82" s="1">
        <f>(3600/D82*C82)/B4*100</f>
        <v>100</v>
      </c>
      <c r="F82" s="1">
        <f>E82/100*B4</f>
        <v>2250</v>
      </c>
    </row>
    <row r="83" spans="1:6" ht="37.5" x14ac:dyDescent="0.25">
      <c r="A83" s="1"/>
      <c r="B83" s="1" t="s">
        <v>3</v>
      </c>
      <c r="C83" s="1">
        <v>1</v>
      </c>
      <c r="D83" s="1">
        <v>36</v>
      </c>
      <c r="E83" s="1">
        <f>(3600/D83*C83)/B5*100</f>
        <v>100</v>
      </c>
      <c r="F83" s="1">
        <f>E83/100*B5</f>
        <v>100</v>
      </c>
    </row>
    <row r="84" spans="1:6" ht="18.75" x14ac:dyDescent="0.25">
      <c r="A84" s="1"/>
      <c r="B84" s="1" t="s">
        <v>4</v>
      </c>
      <c r="C84" s="1">
        <v>1</v>
      </c>
      <c r="D84" s="1">
        <v>12</v>
      </c>
      <c r="E84" s="1">
        <f>(3600/D84*C84)/B6*100</f>
        <v>100</v>
      </c>
      <c r="F84" s="1">
        <f>E84/100*B6</f>
        <v>300</v>
      </c>
    </row>
    <row r="86" spans="1:6" x14ac:dyDescent="0.25">
      <c r="A86" t="s">
        <v>16</v>
      </c>
    </row>
    <row r="87" spans="1:6" x14ac:dyDescent="0.25">
      <c r="A87" t="s">
        <v>11</v>
      </c>
      <c r="B87" t="s">
        <v>5</v>
      </c>
      <c r="C87" t="s">
        <v>12</v>
      </c>
      <c r="D87" t="s">
        <v>13</v>
      </c>
      <c r="E87" t="s">
        <v>14</v>
      </c>
    </row>
    <row r="88" spans="1:6" ht="18.75" x14ac:dyDescent="0.25">
      <c r="A88" s="1">
        <f>AVERAGE(E88:E92)</f>
        <v>116.66666666666666</v>
      </c>
      <c r="B88" s="1" t="s">
        <v>0</v>
      </c>
      <c r="C88" s="1">
        <v>4</v>
      </c>
      <c r="D88" s="1">
        <v>7.2</v>
      </c>
      <c r="E88" s="1">
        <f>(3600/D88*C88)/B2*100</f>
        <v>133.33333333333331</v>
      </c>
      <c r="F88" s="1">
        <f>E88/100*B2</f>
        <v>1999.9999999999995</v>
      </c>
    </row>
    <row r="89" spans="1:6" ht="37.5" x14ac:dyDescent="0.25">
      <c r="A89" s="1"/>
      <c r="B89" s="1" t="s">
        <v>1</v>
      </c>
      <c r="C89" s="1">
        <v>5</v>
      </c>
      <c r="D89" s="1">
        <v>6.4</v>
      </c>
      <c r="E89" s="1">
        <f>(3600/D89*C89)/B3*100</f>
        <v>125</v>
      </c>
      <c r="F89" s="1">
        <f>E89/100*B3</f>
        <v>2812.5</v>
      </c>
    </row>
    <row r="90" spans="1:6" ht="37.5" x14ac:dyDescent="0.25">
      <c r="A90" s="1"/>
      <c r="B90" s="1" t="s">
        <v>2</v>
      </c>
      <c r="C90" s="1">
        <v>5</v>
      </c>
      <c r="D90" s="1">
        <v>6.4</v>
      </c>
      <c r="E90" s="1">
        <f>(3600/D90*C90)/B4*100</f>
        <v>125</v>
      </c>
      <c r="F90" s="1">
        <f>E90/100*B4</f>
        <v>2812.5</v>
      </c>
    </row>
    <row r="91" spans="1:6" ht="37.5" x14ac:dyDescent="0.25">
      <c r="A91" s="1"/>
      <c r="B91" s="1" t="s">
        <v>3</v>
      </c>
      <c r="C91" s="1">
        <v>1</v>
      </c>
      <c r="D91" s="1">
        <v>36</v>
      </c>
      <c r="E91" s="1">
        <f>(3600/D91*C91)/B5*100</f>
        <v>100</v>
      </c>
      <c r="F91" s="1">
        <f>E91/100*B5</f>
        <v>100</v>
      </c>
    </row>
    <row r="92" spans="1:6" ht="18.75" x14ac:dyDescent="0.25">
      <c r="A92" s="1"/>
      <c r="B92" s="1" t="s">
        <v>4</v>
      </c>
      <c r="C92" s="1">
        <v>1</v>
      </c>
      <c r="D92" s="1">
        <v>12</v>
      </c>
      <c r="E92" s="1">
        <f>(3600/D92*C92)/B6*100</f>
        <v>100</v>
      </c>
      <c r="F92" s="1">
        <f>E92/100*B6</f>
        <v>300</v>
      </c>
    </row>
    <row r="94" spans="1:6" x14ac:dyDescent="0.25">
      <c r="A94" t="s">
        <v>17</v>
      </c>
    </row>
    <row r="95" spans="1:6" x14ac:dyDescent="0.25">
      <c r="A95" t="s">
        <v>11</v>
      </c>
      <c r="B95" t="s">
        <v>5</v>
      </c>
      <c r="C95" t="s">
        <v>12</v>
      </c>
      <c r="D95" t="s">
        <v>13</v>
      </c>
      <c r="E95" t="s">
        <v>14</v>
      </c>
    </row>
    <row r="96" spans="1:6" ht="18.75" x14ac:dyDescent="0.25">
      <c r="A96" s="1">
        <f>AVERAGE(E96:E100)</f>
        <v>160</v>
      </c>
      <c r="B96" s="1" t="s">
        <v>0</v>
      </c>
      <c r="C96" s="1">
        <v>5</v>
      </c>
      <c r="D96" s="1">
        <v>7.2</v>
      </c>
      <c r="E96" s="1">
        <f>(3600/D10*C10)/$B$2*100</f>
        <v>100</v>
      </c>
      <c r="F96" s="1">
        <f>E96/100*B2</f>
        <v>1500</v>
      </c>
    </row>
    <row r="97" spans="1:6" ht="37.5" x14ac:dyDescent="0.25">
      <c r="A97" s="1"/>
      <c r="B97" s="1" t="s">
        <v>1</v>
      </c>
      <c r="C97" s="1">
        <v>6</v>
      </c>
      <c r="D97" s="1">
        <v>6.4</v>
      </c>
      <c r="E97" s="1">
        <f>(3600/D97*C97)/B3*100</f>
        <v>150</v>
      </c>
      <c r="F97" s="1">
        <f>E97/100*B3</f>
        <v>3375</v>
      </c>
    </row>
    <row r="98" spans="1:6" ht="37.5" x14ac:dyDescent="0.25">
      <c r="A98" s="1"/>
      <c r="B98" s="1" t="s">
        <v>2</v>
      </c>
      <c r="C98" s="1">
        <v>6</v>
      </c>
      <c r="D98" s="1">
        <v>6.4</v>
      </c>
      <c r="E98" s="1">
        <f>(3600/D98*C98)/B4*100</f>
        <v>150</v>
      </c>
      <c r="F98" s="1">
        <f>E98/100*B4</f>
        <v>3375</v>
      </c>
    </row>
    <row r="99" spans="1:6" ht="37.5" x14ac:dyDescent="0.25">
      <c r="A99" s="1"/>
      <c r="B99" s="1" t="s">
        <v>3</v>
      </c>
      <c r="C99" s="1">
        <v>2</v>
      </c>
      <c r="D99" s="1">
        <v>36</v>
      </c>
      <c r="E99" s="1">
        <f>(3600/D99*C99)/B5*100</f>
        <v>200</v>
      </c>
      <c r="F99" s="1">
        <f>E99/100*B5</f>
        <v>200</v>
      </c>
    </row>
    <row r="100" spans="1:6" ht="18.75" x14ac:dyDescent="0.25">
      <c r="A100" s="1"/>
      <c r="B100" s="1" t="s">
        <v>4</v>
      </c>
      <c r="C100" s="1">
        <v>2</v>
      </c>
      <c r="D100" s="1">
        <v>12</v>
      </c>
      <c r="E100" s="1">
        <f>(3600/D100*C100)/B6*100</f>
        <v>200</v>
      </c>
      <c r="F100" s="1">
        <f>E100/100*B6</f>
        <v>600</v>
      </c>
    </row>
    <row r="102" spans="1:6" x14ac:dyDescent="0.25">
      <c r="A102" t="s">
        <v>18</v>
      </c>
    </row>
    <row r="103" spans="1:6" x14ac:dyDescent="0.25">
      <c r="A103" t="s">
        <v>11</v>
      </c>
      <c r="B103" t="s">
        <v>5</v>
      </c>
      <c r="C103" t="s">
        <v>12</v>
      </c>
      <c r="D103" t="s">
        <v>13</v>
      </c>
      <c r="E103" t="s">
        <v>14</v>
      </c>
    </row>
    <row r="104" spans="1:6" ht="18.75" x14ac:dyDescent="0.25">
      <c r="A104" s="1">
        <f>AVERAGE(E104:E108)</f>
        <v>190</v>
      </c>
      <c r="B104" s="1" t="s">
        <v>0</v>
      </c>
      <c r="C104" s="1">
        <v>6</v>
      </c>
      <c r="D104" s="1">
        <v>7.2</v>
      </c>
      <c r="E104" s="1">
        <f>(3600/D104*C104)/B2*100</f>
        <v>200</v>
      </c>
      <c r="F104" s="1">
        <f>E104/100*B2</f>
        <v>3000</v>
      </c>
    </row>
    <row r="105" spans="1:6" ht="37.5" x14ac:dyDescent="0.25">
      <c r="A105" s="1"/>
      <c r="B105" s="1" t="s">
        <v>1</v>
      </c>
      <c r="C105" s="1">
        <v>7</v>
      </c>
      <c r="D105" s="1">
        <v>6.4</v>
      </c>
      <c r="E105" s="1">
        <f>(3600/D105*C105)/B3*100</f>
        <v>175</v>
      </c>
      <c r="F105" s="1">
        <f>E105/100*B3</f>
        <v>3937.5</v>
      </c>
    </row>
    <row r="106" spans="1:6" ht="37.5" x14ac:dyDescent="0.25">
      <c r="A106" s="1"/>
      <c r="B106" s="1" t="s">
        <v>2</v>
      </c>
      <c r="C106" s="1">
        <v>7</v>
      </c>
      <c r="D106" s="1">
        <v>6.4</v>
      </c>
      <c r="E106" s="1">
        <f>(3600/D106*C106)/B4*100</f>
        <v>175</v>
      </c>
      <c r="F106" s="1">
        <f>E106/100*B4</f>
        <v>3937.5</v>
      </c>
    </row>
    <row r="107" spans="1:6" ht="37.5" x14ac:dyDescent="0.25">
      <c r="A107" s="1"/>
      <c r="B107" s="1" t="s">
        <v>3</v>
      </c>
      <c r="C107" s="1">
        <v>2</v>
      </c>
      <c r="D107" s="1">
        <v>36</v>
      </c>
      <c r="E107" s="1">
        <f>(3600/D107*C107)/B5*100</f>
        <v>200</v>
      </c>
      <c r="F107" s="1">
        <f>E107/100*B5</f>
        <v>200</v>
      </c>
    </row>
    <row r="108" spans="1:6" ht="18.75" x14ac:dyDescent="0.25">
      <c r="A108" s="1"/>
      <c r="B108" s="1" t="s">
        <v>4</v>
      </c>
      <c r="C108" s="1">
        <v>2</v>
      </c>
      <c r="D108" s="1">
        <v>12</v>
      </c>
      <c r="E108" s="1">
        <f>(3600/D108*C108)/B6*100</f>
        <v>200</v>
      </c>
      <c r="F108" s="1">
        <f>E108/100*B6</f>
        <v>600</v>
      </c>
    </row>
    <row r="110" spans="1:6" x14ac:dyDescent="0.25">
      <c r="A110" t="s">
        <v>19</v>
      </c>
    </row>
    <row r="111" spans="1:6" x14ac:dyDescent="0.25">
      <c r="A111" t="s">
        <v>11</v>
      </c>
      <c r="B111" t="s">
        <v>5</v>
      </c>
      <c r="C111" t="s">
        <v>12</v>
      </c>
      <c r="D111" t="s">
        <v>13</v>
      </c>
      <c r="E111" t="s">
        <v>14</v>
      </c>
    </row>
    <row r="112" spans="1:6" ht="18.75" x14ac:dyDescent="0.25">
      <c r="A112" s="1">
        <f>AVERAGE(E112:E116)</f>
        <v>200</v>
      </c>
      <c r="B112" s="1" t="s">
        <v>0</v>
      </c>
      <c r="C112" s="1">
        <v>6</v>
      </c>
      <c r="D112" s="1">
        <v>7.2</v>
      </c>
      <c r="E112" s="1">
        <f>(3600/D112*C112)/B2*100</f>
        <v>200</v>
      </c>
      <c r="F112" s="1">
        <f>E112/100*B2</f>
        <v>3000</v>
      </c>
    </row>
    <row r="113" spans="1:6" ht="37.5" x14ac:dyDescent="0.25">
      <c r="A113" s="1"/>
      <c r="B113" s="1" t="s">
        <v>1</v>
      </c>
      <c r="C113" s="1">
        <v>8</v>
      </c>
      <c r="D113" s="1">
        <v>6.4</v>
      </c>
      <c r="E113" s="1">
        <f>(3600/D113*C113)/B3*100</f>
        <v>200</v>
      </c>
      <c r="F113" s="1">
        <f>E113/100*B3</f>
        <v>4500</v>
      </c>
    </row>
    <row r="114" spans="1:6" ht="37.5" x14ac:dyDescent="0.25">
      <c r="A114" s="1"/>
      <c r="B114" s="1" t="s">
        <v>2</v>
      </c>
      <c r="C114" s="1">
        <v>8</v>
      </c>
      <c r="D114" s="1">
        <v>6.4</v>
      </c>
      <c r="E114" s="1">
        <f>(3600/D114*C114)/B4*100</f>
        <v>200</v>
      </c>
      <c r="F114" s="1">
        <f>E114/100*B4</f>
        <v>4500</v>
      </c>
    </row>
    <row r="115" spans="1:6" ht="37.5" x14ac:dyDescent="0.25">
      <c r="A115" s="1"/>
      <c r="B115" s="1" t="s">
        <v>3</v>
      </c>
      <c r="C115" s="1">
        <v>2</v>
      </c>
      <c r="D115" s="1">
        <v>36</v>
      </c>
      <c r="E115" s="1">
        <f>(3600/D115*C115)/B5*100</f>
        <v>200</v>
      </c>
      <c r="F115" s="1">
        <f>E115/100*B5</f>
        <v>200</v>
      </c>
    </row>
    <row r="116" spans="1:6" ht="18.75" x14ac:dyDescent="0.25">
      <c r="A116" s="1"/>
      <c r="B116" s="1" t="s">
        <v>4</v>
      </c>
      <c r="C116" s="1">
        <v>2</v>
      </c>
      <c r="D116" s="1">
        <v>12</v>
      </c>
      <c r="E116" s="1">
        <f>(3600/D116*C116)/B6*100</f>
        <v>200</v>
      </c>
      <c r="F116" s="1">
        <f>E116/100*B6</f>
        <v>600</v>
      </c>
    </row>
    <row r="119" spans="1:6" x14ac:dyDescent="0.25">
      <c r="A119" t="s">
        <v>21</v>
      </c>
    </row>
    <row r="120" spans="1:6" x14ac:dyDescent="0.25">
      <c r="A120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Назаров</dc:creator>
  <cp:lastModifiedBy>Даниил Назаров</cp:lastModifiedBy>
  <dcterms:created xsi:type="dcterms:W3CDTF">2026-02-10T14:41:34Z</dcterms:created>
  <dcterms:modified xsi:type="dcterms:W3CDTF">2026-02-11T09:26:05Z</dcterms:modified>
</cp:coreProperties>
</file>